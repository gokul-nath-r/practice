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kul Nath\Desktop\"/>
    </mc:Choice>
  </mc:AlternateContent>
  <xr:revisionPtr revIDLastSave="0" documentId="13_ncr:1_{10FA8523-1D83-4D72-B8DA-43174C1006EA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test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J2" i="1"/>
  <c r="J5" i="1"/>
  <c r="J4" i="1"/>
  <c r="J3" i="1"/>
  <c r="K3" i="1"/>
  <c r="K6" i="1"/>
  <c r="J6" i="1"/>
  <c r="K5" i="1"/>
  <c r="K4" i="1"/>
  <c r="L4" i="1" l="1"/>
  <c r="L5" i="1"/>
  <c r="L6" i="1"/>
  <c r="L3" i="1"/>
  <c r="L2" i="1"/>
  <c r="M4" i="1"/>
  <c r="M5" i="1"/>
  <c r="M6" i="1"/>
  <c r="M2" i="1"/>
  <c r="M3" i="1"/>
</calcChain>
</file>

<file path=xl/sharedStrings.xml><?xml version="1.0" encoding="utf-8"?>
<sst xmlns="http://schemas.openxmlformats.org/spreadsheetml/2006/main" count="17" uniqueCount="17">
  <si>
    <t>John</t>
  </si>
  <si>
    <t>Suresh</t>
  </si>
  <si>
    <t>Ramesh</t>
  </si>
  <si>
    <t>Jessica</t>
  </si>
  <si>
    <t>Jennifer</t>
  </si>
  <si>
    <t>Maths</t>
  </si>
  <si>
    <t>Physics</t>
  </si>
  <si>
    <t>Chemistry</t>
  </si>
  <si>
    <t>English</t>
  </si>
  <si>
    <t>Biology</t>
  </si>
  <si>
    <t>Economics</t>
  </si>
  <si>
    <t>History</t>
  </si>
  <si>
    <t>Civics</t>
  </si>
  <si>
    <t>Total</t>
  </si>
  <si>
    <t>Result</t>
  </si>
  <si>
    <t>Percentage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</si>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</sst>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4</xdr:row>
          <xdr:rowOff>7620</xdr:rowOff>
        </xdr:from>
        <xdr:to>
          <xdr:col>16</xdr:col>
          <xdr:colOff>15240</xdr:colOff>
          <xdr:row>5</xdr:row>
          <xdr:rowOff>175260</xdr:rowOff>
        </xdr:to>
        <xdr:sp macro="" textlink="">
          <xdr:nvSpPr>
            <xdr:cNvPr id="1153" name="CommandButton1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579120</xdr:colOff>
          <xdr:row>8</xdr:row>
          <xdr:rowOff>7620</xdr:rowOff>
        </xdr:to>
        <xdr:sp macro="" textlink="">
          <xdr:nvSpPr>
            <xdr:cNvPr id="1154" name="CommandButton2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</xdr:row>
          <xdr:rowOff>0</xdr:rowOff>
        </xdr:from>
        <xdr:to>
          <xdr:col>16</xdr:col>
          <xdr:colOff>297180</xdr:colOff>
          <xdr:row>3</xdr:row>
          <xdr:rowOff>175260</xdr:rowOff>
        </xdr:to>
        <xdr:sp macro="" textlink="">
          <xdr:nvSpPr>
            <xdr:cNvPr id="1157" name="CommandButton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"/>
  <sheetViews>
    <sheetView tabSelected="1" workbookViewId="0">
      <selection activeCell="L7" sqref="L7"/>
    </sheetView>
  </sheetViews>
  <sheetFormatPr defaultRowHeight="14.4" x14ac:dyDescent="0.3"/>
  <sheetData>
    <row r="1" spans="1:13" x14ac:dyDescent="0.3"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s="1" t="s">
        <v>14</v>
      </c>
      <c r="K1" t="s">
        <v>13</v>
      </c>
      <c r="L1" t="s">
        <v>15</v>
      </c>
      <c r="M1" t="s">
        <v>16</v>
      </c>
    </row>
    <row r="2" spans="1:13" x14ac:dyDescent="0.3">
      <c r="A2" s="2" t="s">
        <v>0</v>
      </c>
      <c r="B2" s="2">
        <v>55</v>
      </c>
      <c r="C2" s="2">
        <v>45</v>
      </c>
      <c r="D2" s="2">
        <v>56</v>
      </c>
      <c r="E2" s="2">
        <v>87</v>
      </c>
      <c r="F2" s="2">
        <v>45</v>
      </c>
      <c r="G2" s="2">
        <v>52</v>
      </c>
      <c r="H2" s="2">
        <v>89</v>
      </c>
      <c r="I2" s="2">
        <v>65</v>
      </c>
      <c r="J2" t="str">
        <f t="shared" ref="J2:J3" si="0">StudResult($B2:$I2)</f>
        <v>Pass</v>
      </c>
      <c r="K2">
        <f>GetTotalScores(2)</f>
        <v>494</v>
      </c>
      <c r="L2">
        <f>$K2/800</f>
        <v>0.61750000000000005</v>
      </c>
      <c r="M2" t="str">
        <f>GetGradeLetter($L2)</f>
        <v>D</v>
      </c>
    </row>
    <row r="3" spans="1:13" x14ac:dyDescent="0.3">
      <c r="A3" s="2" t="s">
        <v>1</v>
      </c>
      <c r="B3" s="2">
        <v>75</v>
      </c>
      <c r="C3" s="2">
        <v>55</v>
      </c>
      <c r="D3" s="2">
        <v>70</v>
      </c>
      <c r="E3" s="2">
        <v>64</v>
      </c>
      <c r="F3" s="2">
        <v>80</v>
      </c>
      <c r="G3" s="2">
        <v>61</v>
      </c>
      <c r="H3" s="2">
        <v>57</v>
      </c>
      <c r="I3" s="2">
        <v>2</v>
      </c>
      <c r="J3" t="str">
        <f t="shared" si="0"/>
        <v>Fail</v>
      </c>
      <c r="K3">
        <f>GetTotalScores(3)</f>
        <v>464</v>
      </c>
      <c r="L3">
        <f t="shared" ref="L3:L6" si="1">$K3/800</f>
        <v>0.57999999999999996</v>
      </c>
      <c r="M3" t="str">
        <f t="shared" ref="M3:M6" si="2">GetGradeLetter($L3)</f>
        <v>F</v>
      </c>
    </row>
    <row r="4" spans="1:13" x14ac:dyDescent="0.3">
      <c r="A4" s="2" t="s">
        <v>2</v>
      </c>
      <c r="B4" s="2">
        <v>25</v>
      </c>
      <c r="C4" s="2">
        <v>54</v>
      </c>
      <c r="D4" s="2">
        <v>89</v>
      </c>
      <c r="E4" s="2">
        <v>76</v>
      </c>
      <c r="F4" s="2">
        <v>95</v>
      </c>
      <c r="G4" s="2">
        <v>87</v>
      </c>
      <c r="H4" s="2">
        <v>56</v>
      </c>
      <c r="I4" s="2">
        <v>74</v>
      </c>
      <c r="J4" t="str">
        <f>StudResult($B4:$I4)</f>
        <v>Fail</v>
      </c>
      <c r="K4">
        <f>GetTotalScores(4)</f>
        <v>556</v>
      </c>
      <c r="L4">
        <f t="shared" si="1"/>
        <v>0.69499999999999995</v>
      </c>
      <c r="M4" t="str">
        <f t="shared" si="2"/>
        <v>F</v>
      </c>
    </row>
    <row r="5" spans="1:13" x14ac:dyDescent="0.3">
      <c r="A5" s="2" t="s">
        <v>3</v>
      </c>
      <c r="B5" s="2">
        <v>78</v>
      </c>
      <c r="C5" s="2">
        <v>55</v>
      </c>
      <c r="D5" s="2">
        <v>86</v>
      </c>
      <c r="E5" s="2">
        <v>63</v>
      </c>
      <c r="F5" s="2">
        <v>54</v>
      </c>
      <c r="G5" s="2">
        <v>89</v>
      </c>
      <c r="H5" s="2">
        <v>75</v>
      </c>
      <c r="I5" s="2">
        <v>45</v>
      </c>
      <c r="J5" t="str">
        <f t="shared" ref="J5" si="3">StudResult($B5:$I5)</f>
        <v>Pass</v>
      </c>
      <c r="K5">
        <f>GetTotalScores(5)</f>
        <v>545</v>
      </c>
      <c r="L5">
        <f t="shared" si="1"/>
        <v>0.68125000000000002</v>
      </c>
      <c r="M5" t="str">
        <f t="shared" si="2"/>
        <v>D</v>
      </c>
    </row>
    <row r="6" spans="1:13" x14ac:dyDescent="0.3">
      <c r="A6" s="2" t="s">
        <v>4</v>
      </c>
      <c r="B6" s="2">
        <v>58</v>
      </c>
      <c r="C6" s="2">
        <v>96</v>
      </c>
      <c r="D6" s="2">
        <v>78</v>
      </c>
      <c r="E6" s="2">
        <v>46</v>
      </c>
      <c r="F6" s="2">
        <v>96</v>
      </c>
      <c r="G6" s="2">
        <v>77</v>
      </c>
      <c r="H6" s="2"/>
      <c r="I6" s="2">
        <v>53</v>
      </c>
      <c r="J6" t="str">
        <f>StudResult($B6:$I6)</f>
        <v>Fail</v>
      </c>
      <c r="K6">
        <f>GetTotalScores(6)</f>
        <v>504</v>
      </c>
      <c r="L6">
        <f t="shared" si="1"/>
        <v>0.63</v>
      </c>
      <c r="M6" t="str">
        <f t="shared" si="2"/>
        <v>F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53" r:id="rId4" name="CommandButton1">
          <controlPr defaultSize="0" autoLine="0" r:id="rId5">
            <anchor moveWithCells="1">
              <from>
                <xdr:col>13</xdr:col>
                <xdr:colOff>601980</xdr:colOff>
                <xdr:row>4</xdr:row>
                <xdr:rowOff>7620</xdr:rowOff>
              </from>
              <to>
                <xdr:col>16</xdr:col>
                <xdr:colOff>15240</xdr:colOff>
                <xdr:row>5</xdr:row>
                <xdr:rowOff>175260</xdr:rowOff>
              </to>
            </anchor>
          </controlPr>
        </control>
      </mc:Choice>
      <mc:Fallback>
        <control shapeId="1153" r:id="rId4" name="CommandButton1"/>
      </mc:Fallback>
    </mc:AlternateContent>
    <mc:AlternateContent xmlns:mc="http://schemas.openxmlformats.org/markup-compatibility/2006">
      <mc:Choice Requires="x14">
        <control shapeId="1154" r:id="rId6" name="CommandButton2">
          <controlPr defaultSize="0" autoLine="0" r:id="rId7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15</xdr:col>
                <xdr:colOff>579120</xdr:colOff>
                <xdr:row>8</xdr:row>
                <xdr:rowOff>7620</xdr:rowOff>
              </to>
            </anchor>
          </controlPr>
        </control>
      </mc:Choice>
      <mc:Fallback>
        <control shapeId="1154" r:id="rId6" name="CommandButton2"/>
      </mc:Fallback>
    </mc:AlternateContent>
    <mc:AlternateContent xmlns:mc="http://schemas.openxmlformats.org/markup-compatibility/2006">
      <mc:Choice Requires="x14">
        <control shapeId="1157" r:id="rId8" name="CommandButton3">
          <controlPr defaultSize="0" autoLine="0" autoPict="0" r:id="rId9">
            <anchor moveWithCells="1">
              <from>
                <xdr:col>14</xdr:col>
                <xdr:colOff>7620</xdr:colOff>
                <xdr:row>2</xdr:row>
                <xdr:rowOff>0</xdr:rowOff>
              </from>
              <to>
                <xdr:col>16</xdr:col>
                <xdr:colOff>297180</xdr:colOff>
                <xdr:row>3</xdr:row>
                <xdr:rowOff>175260</xdr:rowOff>
              </to>
            </anchor>
          </controlPr>
        </control>
      </mc:Choice>
      <mc:Fallback>
        <control shapeId="1157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BCF6-CB1E-4023-B821-89DD83C4428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ED5825-5468-4358-961A-3C397AAF7E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Gokul Nath</dc:creator>
  <cp:lastModifiedBy>Gokul Nath</cp:lastModifiedBy>
  <dcterms:created xsi:type="dcterms:W3CDTF">2015-06-05T18:17:20Z</dcterms:created>
  <dcterms:modified xsi:type="dcterms:W3CDTF">2023-03-05T18:59:58Z</dcterms:modified>
</cp:coreProperties>
</file>